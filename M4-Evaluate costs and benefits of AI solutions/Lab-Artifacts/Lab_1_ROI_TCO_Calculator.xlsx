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_TCO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Monthly cases</t>
        </is>
      </c>
      <c r="B2" t="n">
        <v>120000</v>
      </c>
      <c r="C2" t="inlineStr">
        <is>
          <t>cases</t>
        </is>
      </c>
      <c r="D2" t="inlineStr">
        <is>
          <t>Baseline workload</t>
        </is>
      </c>
    </row>
    <row r="3">
      <c r="A3" t="inlineStr">
        <is>
          <t>Current handling time</t>
        </is>
      </c>
      <c r="B3" t="n">
        <v>24</v>
      </c>
      <c r="C3" t="inlineStr">
        <is>
          <t>minutes/case</t>
        </is>
      </c>
      <c r="D3" t="inlineStr">
        <is>
          <t>Before AI</t>
        </is>
      </c>
    </row>
    <row r="4">
      <c r="A4" t="inlineStr">
        <is>
          <t>Target handling time</t>
        </is>
      </c>
      <c r="B4" t="n">
        <v>17</v>
      </c>
      <c r="C4" t="inlineStr">
        <is>
          <t>minutes/case</t>
        </is>
      </c>
      <c r="D4" t="inlineStr">
        <is>
          <t>Expected with AI</t>
        </is>
      </c>
    </row>
    <row r="5">
      <c r="A5" t="inlineStr">
        <is>
          <t>Minutes saved per case</t>
        </is>
      </c>
      <c r="B5">
        <f>B3-B4</f>
        <v/>
      </c>
      <c r="C5" t="inlineStr">
        <is>
          <t>minutes</t>
        </is>
      </c>
      <c r="D5" t="inlineStr">
        <is>
          <t>Calculated</t>
        </is>
      </c>
    </row>
    <row r="6">
      <c r="A6" t="inlineStr">
        <is>
          <t>Monthly minutes saved</t>
        </is>
      </c>
      <c r="B6">
        <f>B2*B5</f>
        <v/>
      </c>
      <c r="C6" t="inlineStr">
        <is>
          <t>minutes</t>
        </is>
      </c>
      <c r="D6" t="inlineStr">
        <is>
          <t>Calculated</t>
        </is>
      </c>
    </row>
    <row r="7">
      <c r="A7" t="inlineStr">
        <is>
          <t>Monthly hours saved</t>
        </is>
      </c>
      <c r="B7">
        <f>B6/60</f>
        <v/>
      </c>
      <c r="C7" t="inlineStr">
        <is>
          <t>hours</t>
        </is>
      </c>
      <c r="D7" t="inlineStr">
        <is>
          <t>Calculated</t>
        </is>
      </c>
    </row>
    <row r="8">
      <c r="A8" t="inlineStr">
        <is>
          <t>Loaded labor cost</t>
        </is>
      </c>
      <c r="B8" t="n">
        <v>45</v>
      </c>
      <c r="C8" t="inlineStr">
        <is>
          <t>USD/hour</t>
        </is>
      </c>
      <c r="D8" t="inlineStr">
        <is>
          <t>Replace with organization value</t>
        </is>
      </c>
    </row>
    <row r="9">
      <c r="A9" t="inlineStr">
        <is>
          <t>Monthly productivity value</t>
        </is>
      </c>
      <c r="B9">
        <f>B7*B8</f>
        <v/>
      </c>
      <c r="C9" t="inlineStr">
        <is>
          <t>USD/month</t>
        </is>
      </c>
      <c r="D9" t="inlineStr">
        <is>
          <t>Calculated</t>
        </is>
      </c>
    </row>
    <row r="10">
      <c r="A10" t="inlineStr">
        <is>
          <t>Implementation cost</t>
        </is>
      </c>
      <c r="B10" t="n">
        <v>250000</v>
      </c>
      <c r="C10" t="inlineStr">
        <is>
          <t>USD</t>
        </is>
      </c>
      <c r="D10" t="inlineStr">
        <is>
          <t>Example assumption</t>
        </is>
      </c>
    </row>
    <row r="11">
      <c r="A11" t="inlineStr">
        <is>
          <t>Annual platform/model cost</t>
        </is>
      </c>
      <c r="B11" t="n">
        <v>180000</v>
      </c>
      <c r="C11" t="inlineStr">
        <is>
          <t>USD/year</t>
        </is>
      </c>
      <c r="D11" t="inlineStr">
        <is>
          <t>Example assumption</t>
        </is>
      </c>
    </row>
    <row r="12">
      <c r="A12" t="inlineStr">
        <is>
          <t>Annual operations cost</t>
        </is>
      </c>
      <c r="B12" t="n">
        <v>120000</v>
      </c>
      <c r="C12" t="inlineStr">
        <is>
          <t>USD/year</t>
        </is>
      </c>
      <c r="D12" t="inlineStr">
        <is>
          <t>Example assumption</t>
        </is>
      </c>
    </row>
    <row r="13">
      <c r="A13" t="inlineStr">
        <is>
          <t>Annual training/change cost</t>
        </is>
      </c>
      <c r="B13" t="n">
        <v>60000</v>
      </c>
      <c r="C13" t="inlineStr">
        <is>
          <t>USD/year</t>
        </is>
      </c>
      <c r="D13" t="inlineStr">
        <is>
          <t>Example assumption</t>
        </is>
      </c>
    </row>
    <row r="14">
      <c r="A14" t="inlineStr">
        <is>
          <t>Annual benefit</t>
        </is>
      </c>
      <c r="B14">
        <f>B9*12</f>
        <v/>
      </c>
      <c r="C14" t="inlineStr">
        <is>
          <t>USD/year</t>
        </is>
      </c>
      <c r="D14" t="inlineStr">
        <is>
          <t>Calculated</t>
        </is>
      </c>
    </row>
    <row r="15">
      <c r="A15" t="inlineStr">
        <is>
          <t>Year 1 TCO</t>
        </is>
      </c>
      <c r="B15">
        <f>B10+B11+B12+B13</f>
        <v/>
      </c>
      <c r="C15" t="inlineStr">
        <is>
          <t>USD</t>
        </is>
      </c>
      <c r="D15" t="inlineStr">
        <is>
          <t>Implementation + annual costs</t>
        </is>
      </c>
    </row>
    <row r="16">
      <c r="A16" t="inlineStr">
        <is>
          <t>Year 1 net benefit</t>
        </is>
      </c>
      <c r="B16">
        <f>B14-B15</f>
        <v/>
      </c>
      <c r="C16" t="inlineStr">
        <is>
          <t>USD</t>
        </is>
      </c>
      <c r="D16" t="inlineStr">
        <is>
          <t>Calculated</t>
        </is>
      </c>
    </row>
    <row r="17">
      <c r="A17" t="inlineStr">
        <is>
          <t>Year 1 ROI</t>
        </is>
      </c>
      <c r="B17">
        <f>B16/B15</f>
        <v/>
      </c>
      <c r="C17" t="inlineStr">
        <is>
          <t>ratio</t>
        </is>
      </c>
      <c r="D17" t="inlineStr">
        <is>
          <t>Calculated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Reason</t>
        </is>
      </c>
    </row>
    <row r="2">
      <c r="A2" t="inlineStr">
        <is>
          <t>Cases per month</t>
        </is>
      </c>
      <c r="B2" t="n">
        <v>120000</v>
      </c>
      <c r="C2" t="inlineStr">
        <is>
          <t>Current workload</t>
        </is>
      </c>
    </row>
    <row r="3">
      <c r="A3" t="inlineStr">
        <is>
          <t>Current minutes per case</t>
        </is>
      </c>
      <c r="B3" t="n">
        <v>24</v>
      </c>
      <c r="C3" t="inlineStr">
        <is>
          <t>Baseline</t>
        </is>
      </c>
    </row>
    <row r="4">
      <c r="A4" t="inlineStr">
        <is>
          <t>Target minutes per case</t>
        </is>
      </c>
      <c r="B4" t="n">
        <v>17</v>
      </c>
      <c r="C4" t="inlineStr">
        <is>
          <t>Expected AI improvement</t>
        </is>
      </c>
    </row>
    <row r="5">
      <c r="A5" t="inlineStr">
        <is>
          <t>Labor cost per hour</t>
        </is>
      </c>
      <c r="B5" t="n">
        <v>45</v>
      </c>
      <c r="C5" t="inlineStr">
        <is>
          <t>Illustrative; replace with actual</t>
        </is>
      </c>
    </row>
    <row r="6">
      <c r="A6" t="inlineStr">
        <is>
          <t>Implementation cost</t>
        </is>
      </c>
      <c r="B6" t="n">
        <v>250000</v>
      </c>
      <c r="C6" t="inlineStr">
        <is>
          <t>Illustrative</t>
        </is>
      </c>
    </row>
    <row r="7">
      <c r="A7" t="inlineStr">
        <is>
          <t>Annual platform/model cost</t>
        </is>
      </c>
      <c r="B7" t="n">
        <v>180000</v>
      </c>
      <c r="C7" t="inlineStr">
        <is>
          <t>Illustrative</t>
        </is>
      </c>
    </row>
    <row r="8">
      <c r="A8" t="inlineStr">
        <is>
          <t>Annual operations cost</t>
        </is>
      </c>
      <c r="B8" t="n">
        <v>120000</v>
      </c>
      <c r="C8" t="inlineStr">
        <is>
          <t>Illustrative</t>
        </is>
      </c>
    </row>
    <row r="9">
      <c r="A9" t="inlineStr">
        <is>
          <t>Annual training/change cost</t>
        </is>
      </c>
      <c r="B9" t="n">
        <v>60000</v>
      </c>
      <c r="C9" t="inlineStr">
        <is>
          <t>Illustrative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2026-09-28T12:58:22Z</dcterms:created>
  <dcterms:modified xmlns:dcterms="http://purl.org/dc/terms/" xmlns:xsi="http://www.w3.org/2001/XMLSchema-instance" xsi:type="dcterms:W3CDTF">2026-09-28T12:58:22Z</dcterms:modified>
</cp:coreProperties>
</file>